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Ratios" sheetId="2" state="visible" r:id="rId4"/>
    <sheet name="Notes_and_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<sst xmlns="http://schemas.openxmlformats.org/spreadsheetml/2006/main" count="386" uniqueCount="108">
  <si>
    <t xml:space="preserve">NBFC Financial Performance Analysis — Raw Data</t>
  </si>
  <si>
    <t xml:space="preserve">All figures in Rs. Crore unless noted. Source: Company Annual Reports / Investor Presentations.</t>
  </si>
  <si>
    <t xml:space="preserve">Company</t>
  </si>
  <si>
    <t xml:space="preserve">FY</t>
  </si>
  <si>
    <t xml:space="preserve">Metric</t>
  </si>
  <si>
    <t xml:space="preserve">Value (Rs. Cr)</t>
  </si>
  <si>
    <t xml:space="preserve">Source / Note</t>
  </si>
  <si>
    <t xml:space="preserve">Tata Capital</t>
  </si>
  <si>
    <t xml:space="preserve">FY25</t>
  </si>
  <si>
    <t xml:space="preserve">Total Assets</t>
  </si>
  <si>
    <t xml:space="preserve">Standalone Balance Sheet, Mar 2025, Tata Capital AR 2024-25</t>
  </si>
  <si>
    <t xml:space="preserve">Total Loans / Advances (Gross)</t>
  </si>
  <si>
    <t xml:space="preserve">Standalone Balance Sheet - Loans, Mar 2025</t>
  </si>
  <si>
    <t xml:space="preserve">Total Equity</t>
  </si>
  <si>
    <t xml:space="preserve">Standalone Balance Sheet - Total Equity, Mar 2025</t>
  </si>
  <si>
    <t xml:space="preserve">Total Borrowings (Debt Securities + Borrowings + Subordinated Liabilities)</t>
  </si>
  <si>
    <t xml:space="preserve">Debt securities 51,807.61 + Borrowings 87,204.94 + Subordinated liabilities 8,325.37</t>
  </si>
  <si>
    <t xml:space="preserve">Interest Income</t>
  </si>
  <si>
    <t xml:space="preserve">Standalone P&amp;L, FY25</t>
  </si>
  <si>
    <t xml:space="preserve">Finance Costs (Interest Expense)</t>
  </si>
  <si>
    <t xml:space="preserve">Total Income</t>
  </si>
  <si>
    <t xml:space="preserve">Profit After Tax (PAT)</t>
  </si>
  <si>
    <t xml:space="preserve">CRAR (%)</t>
  </si>
  <si>
    <t xml:space="preserve">Notes to Accounts - RBI Disclosures, Mar 2025 (value as %, e.g. 16.91)</t>
  </si>
  <si>
    <t xml:space="preserve">CRAR - Tier I (%)</t>
  </si>
  <si>
    <t xml:space="preserve">Notes to Accounts - RBI Disclosures, Mar 2025</t>
  </si>
  <si>
    <t xml:space="preserve">Gross NPA (Stage 3 Gross Carrying Amount)</t>
  </si>
  <si>
    <t xml:space="preserve">RBI Asset Classification Note, Mar 2025</t>
  </si>
  <si>
    <t xml:space="preserve">Total Gross Loans (for GNPA%)</t>
  </si>
  <si>
    <t xml:space="preserve">RBI Asset Classification Note - Total Gross Carrying Amount, Mar 2025</t>
  </si>
  <si>
    <t xml:space="preserve">Net NPA (Stage 3 Net Carrying Amount)</t>
  </si>
  <si>
    <t xml:space="preserve">Total Net Loans (for NNPA%)</t>
  </si>
  <si>
    <t xml:space="preserve">RBI Asset Classification Note - Total Net Carrying Amount, Mar 2025</t>
  </si>
  <si>
    <t xml:space="preserve">FY24</t>
  </si>
  <si>
    <t xml:space="preserve">Standalone Balance Sheet, Mar 2024, Tata Capital AR 2024-25 (comparative)</t>
  </si>
  <si>
    <t xml:space="preserve">Standalone Balance Sheet - Loans, Mar 2024</t>
  </si>
  <si>
    <t xml:space="preserve">Standalone Balance Sheet - Total Equity, Mar 2024</t>
  </si>
  <si>
    <t xml:space="preserve">Debt securities 39,065.71 + Borrowings 54,687.05 + Subordinated liabilities 7,161.55</t>
  </si>
  <si>
    <t xml:space="preserve">Standalone P&amp;L, FY24 (comparative)</t>
  </si>
  <si>
    <t xml:space="preserve">Notes to Accounts - RBI Disclosures, Mar 2024</t>
  </si>
  <si>
    <t xml:space="preserve">RBI Asset Classification Note, Mar 2024</t>
  </si>
  <si>
    <t xml:space="preserve">RBI Asset Classification Note - Total Gross Carrying Amount, Mar 2024</t>
  </si>
  <si>
    <t xml:space="preserve">RBI Asset Classification Note - Total Net Carrying Amount, Mar 2024</t>
  </si>
  <si>
    <t xml:space="preserve">Bajaj Finance</t>
  </si>
  <si>
    <t xml:space="preserve">Standalone Balance Sheet, Mar 2025, Bajaj Finance AR 2024-25</t>
  </si>
  <si>
    <t xml:space="preserve">Standalone Balance Sheet - Loans (net), Mar 2025</t>
  </si>
  <si>
    <t xml:space="preserve">Debt securities 1,11,010.88 + Borrowings 89,737.66 + Deposits 71,365.52 + Subordinated liabilities 3,103.54</t>
  </si>
  <si>
    <t xml:space="preserve">Standalone P&amp;L, FY25 (includes Rs 2,544.11 cr exceptional item pre-tax - flagged in Notes)</t>
  </si>
  <si>
    <t xml:space="preserve">Notes to Standalone Financial Statements, Note 54(A), Mar 2025</t>
  </si>
  <si>
    <t xml:space="preserve">RBI Asset Classification Note (IRACP comparison), Mar 2025</t>
  </si>
  <si>
    <t xml:space="preserve">RBI Asset Classification Note - Total Gross Carrying Amount (a+b+c), Mar 2025</t>
  </si>
  <si>
    <t xml:space="preserve">Standalone Balance Sheet, Mar 2024, Bajaj Finance AR 2023-24</t>
  </si>
  <si>
    <t xml:space="preserve">Debt securities 87,596.09 + Borrowings 69,238.00 + Deposits 59,966.66 + Subordinated liabilities 3,577.90 (Bajaj is a deposit-taking NBFC, unlike Tata Capital)</t>
  </si>
  <si>
    <t xml:space="preserve">Standalone P&amp;L, FY24</t>
  </si>
  <si>
    <t xml:space="preserve">Consolidated Performance Highlights FY24 (CRAR only disclosed at consolidated level in AR)</t>
  </si>
  <si>
    <t xml:space="preserve">Consolidated Performance Highlights FY24</t>
  </si>
  <si>
    <t xml:space="preserve">RBI Asset Classification Note (IRACP comparison), Mar 2024 - corrected to precise crore figure</t>
  </si>
  <si>
    <t xml:space="preserve">RBI Asset Classification Note - Total Gross Carrying Amount (a+b+c), Mar 2024</t>
  </si>
  <si>
    <t xml:space="preserve">RBI Asset Classification Note, Mar 2024 - corrected to precise crore figure</t>
  </si>
  <si>
    <t xml:space="preserve">Manappuram Finance</t>
  </si>
  <si>
    <t xml:space="preserve">Standalone Balance Sheet, Mar 2025, Manappuram AR 2024-25 (converted from Rs. Mn to Cr, /10)</t>
  </si>
  <si>
    <t xml:space="preserve">Standalone Balance Sheet - Loans, Mar 2025 (converted from Mn)</t>
  </si>
  <si>
    <t xml:space="preserve">Standalone Balance Sheet - Total Equity, Mar 2025 (converted from Mn)</t>
  </si>
  <si>
    <t xml:space="preserve">Debt securities 6,155.54 + Borrowings 20,890.36 + Subordinated liabilities Nil (converted from Mn)</t>
  </si>
  <si>
    <t xml:space="preserve">Standalone P&amp;L, FY25 (converted from Mn)</t>
  </si>
  <si>
    <t xml:space="preserve">Narrative disclosure only (MD's Message / Highlights), standalone, Mar 2025 - no Tier I/II breakdown table available</t>
  </si>
  <si>
    <t xml:space="preserve">Not disclosed in a separate table - only overall CRAR % stated narratively</t>
  </si>
  <si>
    <t xml:space="preserve">RBI Asset Classification Note, Mar 2025 (converted from Mn)</t>
  </si>
  <si>
    <t xml:space="preserve">RBI Asset Classification Note - Total Gross Carrying Amount, Mar 2025 (converted from Mn)</t>
  </si>
  <si>
    <t xml:space="preserve">RBI Asset Classification Note - Total Net Carrying Amount, Mar 2025 (converted from Mn)</t>
  </si>
  <si>
    <t xml:space="preserve">Standalone Balance Sheet, Mar 2024, Manappuram AR 2024-25 comparative (converted from Mn)</t>
  </si>
  <si>
    <t xml:space="preserve">Standalone Balance Sheet - Loans, Mar 2024 (converted from Mn)</t>
  </si>
  <si>
    <t xml:space="preserve">Standalone Balance Sheet - Total Equity, Mar 2024 (converted from Mn)</t>
  </si>
  <si>
    <t xml:space="preserve">Debt securities 4,433.98 + Borrowings 18,032.85 + Subordinated liabilities Nil (converted from Mn)</t>
  </si>
  <si>
    <t xml:space="preserve">Standalone P&amp;L, FY24 comparative (converted from Mn)</t>
  </si>
  <si>
    <t xml:space="preserve">Not disclosed in FY24-25 annual report in comparable format for FY24 (only FY25 stated narratively)</t>
  </si>
  <si>
    <t xml:space="preserve">Not disclosed</t>
  </si>
  <si>
    <t xml:space="preserve">RBI Asset Classification Note, Mar 2024 (converted from Mn)</t>
  </si>
  <si>
    <t xml:space="preserve">RBI Asset Classification Note - Total Gross Carrying Amount, Mar 2024 (converted from Mn)</t>
  </si>
  <si>
    <t xml:space="preserve">RBI Asset Classification Note - Total Net Carrying Amount, Mar 2024 (converted from Mn)</t>
  </si>
  <si>
    <t xml:space="preserve">NBFC Financial Ratios — Computed Summary</t>
  </si>
  <si>
    <t xml:space="preserve">All ratios calculated from Raw_Data sheet using SUMIFS lookups. Update Raw_Data and these refresh automatically.</t>
  </si>
  <si>
    <t xml:space="preserve">NIM (%)</t>
  </si>
  <si>
    <t xml:space="preserve">ROA (%)</t>
  </si>
  <si>
    <t xml:space="preserve">ROE (%)</t>
  </si>
  <si>
    <t xml:space="preserve">Net Profit Margin (%)</t>
  </si>
  <si>
    <t xml:space="preserve">Debt-to-Equity (x)</t>
  </si>
  <si>
    <t xml:space="preserve">GNPA (%)</t>
  </si>
  <si>
    <t xml:space="preserve">NNPA (%)</t>
  </si>
  <si>
    <t xml:space="preserve">Notes, Assumptions &amp; Caveats</t>
  </si>
  <si>
    <t xml:space="preserve">1. TATA CAPITAL — MERGER EFFECT (Important)</t>
  </si>
  <si>
    <t xml:space="preserve">   Note 49 of the Tata Capital Annual Report 2024-25 states that FY25 figures include the effect of the</t>
  </si>
  <si>
    <t xml:space="preserve">   merger of Tata Motors Finance Limited with the company. FY25 vs FY24 YoY comparisons are therefore</t>
  </si>
  <si>
    <t xml:space="preserve">   NOT like-for-like / fully organic. Mention this caveat when presenting YoY growth figures.</t>
  </si>
  <si>
    <t xml:space="preserve">2. CRAR figures are stored in Raw_Data as plain percentages (e.g. 16.91 = 16.91%) and converted to</t>
  </si>
  <si>
    <t xml:space="preserve">   fractions in the Ratios sheet formula (divided by 100) so they display correctly as %.</t>
  </si>
  <si>
    <t xml:space="preserve">3. GNPA / NNPA for Tata Capital use Ind AS 'Stage 3' classification as the equivalent of NPA,</t>
  </si>
  <si>
    <t xml:space="preserve">   per RBI's prudential norms disclosure format used in the Annual Report.</t>
  </si>
  <si>
    <t xml:space="preserve">4. Total Borrowings = Debt Securities + Borrowings (other than debt securities) + Subordinated Liabilities</t>
  </si>
  <si>
    <t xml:space="preserve">   (excludes lease liabilities and other financial liabilities).</t>
  </si>
  <si>
    <t xml:space="preserve">5. BAJAJ FINANCE &amp; MANAPPURAM FINANCE — data rows are currently placeholders (highlighted yellow</t>
  </si>
  <si>
    <t xml:space="preserve">   in Raw_Data). Replace with actual figures pulled from their FY24/FY25 Annual Reports or Investor</t>
  </si>
  <si>
    <t xml:space="preserve">   Presentations using the same method used for Tata Capital.</t>
  </si>
  <si>
    <t xml:space="preserve">6. All figures in Rs. Crore unless stated otherwise. Manappuram Finance investor presentations report</t>
  </si>
  <si>
    <t xml:space="preserve">   some figures in Rs. Mn in older quarters — convert to Rs. Crore (divide by 10) for consistency.</t>
  </si>
  <si>
    <t xml:space="preserve">7. Source documents used so far:</t>
  </si>
  <si>
    <t xml:space="preserve">   - Tata Capital Annual Report FY2024-25 (Standalone financials)</t>
  </si>
  <si>
    <t xml:space="preserve">     https://www.tatacapital.com/content/dam/tata-capital/pdf/investors-and-financial-reports/annual-reports/24-25/tata-capital-limited.pdf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</si>
</sst>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0.0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8"/>
    <col collapsed="false" customWidth="true" hidden="false" outlineLevel="0" max="3" min="3" style="1" width="55"/>
    <col collapsed="false" customWidth="true" hidden="false" outlineLevel="0" max="4" min="4" style="1" width="16"/>
    <col collapsed="false" customWidth="true" hidden="false" outlineLevel="0" max="5" min="5" style="1" width="6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true" outlineLevel="0" collapsed="false">
      <c r="A5" s="5" t="s">
        <v>7</v>
      </c>
      <c r="B5" s="5" t="s">
        <v>8</v>
      </c>
      <c r="C5" s="5" t="s">
        <v>9</v>
      </c>
      <c r="D5" s="6" t="n">
        <v>180237.27</v>
      </c>
      <c r="E5" s="7" t="s">
        <v>10</v>
      </c>
    </row>
    <row r="6" customFormat="false" ht="15" hidden="false" customHeight="true" outlineLevel="0" collapsed="false">
      <c r="A6" s="5" t="s">
        <v>7</v>
      </c>
      <c r="B6" s="5" t="s">
        <v>8</v>
      </c>
      <c r="C6" s="5" t="s">
        <v>11</v>
      </c>
      <c r="D6" s="6" t="n">
        <v>155623.56</v>
      </c>
      <c r="E6" s="7" t="s">
        <v>12</v>
      </c>
    </row>
    <row r="7" customFormat="false" ht="15" hidden="false" customHeight="true" outlineLevel="0" collapsed="false">
      <c r="A7" s="5" t="s">
        <v>7</v>
      </c>
      <c r="B7" s="5" t="s">
        <v>8</v>
      </c>
      <c r="C7" s="5" t="s">
        <v>13</v>
      </c>
      <c r="D7" s="6" t="n">
        <v>28098.84</v>
      </c>
      <c r="E7" s="7" t="s">
        <v>14</v>
      </c>
    </row>
    <row r="8" customFormat="false" ht="15" hidden="false" customHeight="true" outlineLevel="0" collapsed="false">
      <c r="A8" s="5" t="s">
        <v>7</v>
      </c>
      <c r="B8" s="5" t="s">
        <v>8</v>
      </c>
      <c r="C8" s="5" t="s">
        <v>15</v>
      </c>
      <c r="D8" s="6" t="n">
        <v>147337.92</v>
      </c>
      <c r="E8" s="7" t="s">
        <v>16</v>
      </c>
    </row>
    <row r="9" customFormat="false" ht="15" hidden="false" customHeight="true" outlineLevel="0" collapsed="false">
      <c r="A9" s="5" t="s">
        <v>7</v>
      </c>
      <c r="B9" s="5" t="s">
        <v>8</v>
      </c>
      <c r="C9" s="5" t="s">
        <v>17</v>
      </c>
      <c r="D9" s="6" t="n">
        <v>19203.46</v>
      </c>
      <c r="E9" s="7" t="s">
        <v>18</v>
      </c>
    </row>
    <row r="10" customFormat="false" ht="15" hidden="false" customHeight="true" outlineLevel="0" collapsed="false">
      <c r="A10" s="5" t="s">
        <v>7</v>
      </c>
      <c r="B10" s="5" t="s">
        <v>8</v>
      </c>
      <c r="C10" s="5" t="s">
        <v>19</v>
      </c>
      <c r="D10" s="6" t="n">
        <v>10889.48</v>
      </c>
      <c r="E10" s="7" t="s">
        <v>18</v>
      </c>
    </row>
    <row r="11" customFormat="false" ht="15" hidden="false" customHeight="true" outlineLevel="0" collapsed="false">
      <c r="A11" s="5" t="s">
        <v>7</v>
      </c>
      <c r="B11" s="5" t="s">
        <v>8</v>
      </c>
      <c r="C11" s="5" t="s">
        <v>20</v>
      </c>
      <c r="D11" s="6" t="n">
        <v>21940.08</v>
      </c>
      <c r="E11" s="7" t="s">
        <v>18</v>
      </c>
    </row>
    <row r="12" customFormat="false" ht="15" hidden="false" customHeight="true" outlineLevel="0" collapsed="false">
      <c r="A12" s="5" t="s">
        <v>7</v>
      </c>
      <c r="B12" s="5" t="s">
        <v>8</v>
      </c>
      <c r="C12" s="5" t="s">
        <v>21</v>
      </c>
      <c r="D12" s="6" t="n">
        <v>2594.28</v>
      </c>
      <c r="E12" s="7" t="s">
        <v>18</v>
      </c>
    </row>
    <row r="13" customFormat="false" ht="15" hidden="false" customHeight="true" outlineLevel="0" collapsed="false">
      <c r="A13" s="5" t="s">
        <v>7</v>
      </c>
      <c r="B13" s="5" t="s">
        <v>8</v>
      </c>
      <c r="C13" s="5" t="s">
        <v>22</v>
      </c>
      <c r="D13" s="6" t="n">
        <v>16.91</v>
      </c>
      <c r="E13" s="7" t="s">
        <v>23</v>
      </c>
    </row>
    <row r="14" customFormat="false" ht="15" hidden="false" customHeight="true" outlineLevel="0" collapsed="false">
      <c r="A14" s="5" t="s">
        <v>7</v>
      </c>
      <c r="B14" s="5" t="s">
        <v>8</v>
      </c>
      <c r="C14" s="5" t="s">
        <v>24</v>
      </c>
      <c r="D14" s="6" t="n">
        <v>12.8</v>
      </c>
      <c r="E14" s="7" t="s">
        <v>25</v>
      </c>
    </row>
    <row r="15" customFormat="false" ht="15" hidden="false" customHeight="true" outlineLevel="0" collapsed="false">
      <c r="A15" s="5" t="s">
        <v>7</v>
      </c>
      <c r="B15" s="5" t="s">
        <v>8</v>
      </c>
      <c r="C15" s="5" t="s">
        <v>26</v>
      </c>
      <c r="D15" s="6" t="n">
        <v>3721.75</v>
      </c>
      <c r="E15" s="7" t="s">
        <v>27</v>
      </c>
    </row>
    <row r="16" customFormat="false" ht="15" hidden="false" customHeight="true" outlineLevel="0" collapsed="false">
      <c r="A16" s="5" t="s">
        <v>7</v>
      </c>
      <c r="B16" s="5" t="s">
        <v>8</v>
      </c>
      <c r="C16" s="5" t="s">
        <v>28</v>
      </c>
      <c r="D16" s="6" t="n">
        <v>177953.38</v>
      </c>
      <c r="E16" s="7" t="s">
        <v>29</v>
      </c>
    </row>
    <row r="17" customFormat="false" ht="15" hidden="false" customHeight="true" outlineLevel="0" collapsed="false">
      <c r="A17" s="5" t="s">
        <v>7</v>
      </c>
      <c r="B17" s="5" t="s">
        <v>8</v>
      </c>
      <c r="C17" s="5" t="s">
        <v>30</v>
      </c>
      <c r="D17" s="6" t="n">
        <v>1540.76</v>
      </c>
      <c r="E17" s="7" t="s">
        <v>27</v>
      </c>
    </row>
    <row r="18" customFormat="false" ht="15" hidden="false" customHeight="true" outlineLevel="0" collapsed="false">
      <c r="A18" s="5" t="s">
        <v>7</v>
      </c>
      <c r="B18" s="5" t="s">
        <v>8</v>
      </c>
      <c r="C18" s="5" t="s">
        <v>31</v>
      </c>
      <c r="D18" s="6" t="n">
        <v>174053.12</v>
      </c>
      <c r="E18" s="7" t="s">
        <v>32</v>
      </c>
    </row>
    <row r="19" customFormat="false" ht="15" hidden="false" customHeight="true" outlineLevel="0" collapsed="false">
      <c r="A19" s="5" t="s">
        <v>7</v>
      </c>
      <c r="B19" s="5" t="s">
        <v>33</v>
      </c>
      <c r="C19" s="5" t="s">
        <v>9</v>
      </c>
      <c r="D19" s="6" t="n">
        <v>123713.11</v>
      </c>
      <c r="E19" s="7" t="s">
        <v>34</v>
      </c>
    </row>
    <row r="20" customFormat="false" ht="15" hidden="false" customHeight="true" outlineLevel="0" collapsed="false">
      <c r="A20" s="5" t="s">
        <v>7</v>
      </c>
      <c r="B20" s="5" t="s">
        <v>33</v>
      </c>
      <c r="C20" s="5" t="s">
        <v>11</v>
      </c>
      <c r="D20" s="6" t="n">
        <v>106436.92</v>
      </c>
      <c r="E20" s="7" t="s">
        <v>35</v>
      </c>
    </row>
    <row r="21" customFormat="false" ht="15" hidden="false" customHeight="true" outlineLevel="0" collapsed="false">
      <c r="A21" s="5" t="s">
        <v>7</v>
      </c>
      <c r="B21" s="5" t="s">
        <v>33</v>
      </c>
      <c r="C21" s="5" t="s">
        <v>13</v>
      </c>
      <c r="D21" s="6" t="n">
        <v>19452.42</v>
      </c>
      <c r="E21" s="7" t="s">
        <v>36</v>
      </c>
    </row>
    <row r="22" customFormat="false" ht="15" hidden="false" customHeight="true" outlineLevel="0" collapsed="false">
      <c r="A22" s="5" t="s">
        <v>7</v>
      </c>
      <c r="B22" s="5" t="s">
        <v>33</v>
      </c>
      <c r="C22" s="5" t="s">
        <v>15</v>
      </c>
      <c r="D22" s="6" t="n">
        <v>100914.31</v>
      </c>
      <c r="E22" s="7" t="s">
        <v>37</v>
      </c>
    </row>
    <row r="23" customFormat="false" ht="15" hidden="false" customHeight="true" outlineLevel="0" collapsed="false">
      <c r="A23" s="5" t="s">
        <v>7</v>
      </c>
      <c r="B23" s="5" t="s">
        <v>33</v>
      </c>
      <c r="C23" s="5" t="s">
        <v>17</v>
      </c>
      <c r="D23" s="6" t="n">
        <v>11513.89</v>
      </c>
      <c r="E23" s="7" t="s">
        <v>38</v>
      </c>
    </row>
    <row r="24" customFormat="false" ht="15" hidden="false" customHeight="true" outlineLevel="0" collapsed="false">
      <c r="A24" s="5" t="s">
        <v>7</v>
      </c>
      <c r="B24" s="5" t="s">
        <v>33</v>
      </c>
      <c r="C24" s="5" t="s">
        <v>19</v>
      </c>
      <c r="D24" s="6" t="n">
        <v>6645.67</v>
      </c>
      <c r="E24" s="7" t="s">
        <v>38</v>
      </c>
    </row>
    <row r="25" customFormat="false" ht="15" hidden="false" customHeight="true" outlineLevel="0" collapsed="false">
      <c r="A25" s="5" t="s">
        <v>7</v>
      </c>
      <c r="B25" s="5" t="s">
        <v>33</v>
      </c>
      <c r="C25" s="5" t="s">
        <v>20</v>
      </c>
      <c r="D25" s="6" t="n">
        <v>13309.11</v>
      </c>
      <c r="E25" s="7" t="s">
        <v>38</v>
      </c>
    </row>
    <row r="26" customFormat="false" ht="15" hidden="false" customHeight="true" outlineLevel="0" collapsed="false">
      <c r="A26" s="5" t="s">
        <v>7</v>
      </c>
      <c r="B26" s="5" t="s">
        <v>33</v>
      </c>
      <c r="C26" s="5" t="s">
        <v>21</v>
      </c>
      <c r="D26" s="6" t="n">
        <v>2492.45</v>
      </c>
      <c r="E26" s="7" t="s">
        <v>38</v>
      </c>
    </row>
    <row r="27" customFormat="false" ht="15" hidden="false" customHeight="true" outlineLevel="0" collapsed="false">
      <c r="A27" s="5" t="s">
        <v>7</v>
      </c>
      <c r="B27" s="5" t="s">
        <v>33</v>
      </c>
      <c r="C27" s="5" t="s">
        <v>22</v>
      </c>
      <c r="D27" s="6" t="n">
        <v>16.72</v>
      </c>
      <c r="E27" s="7" t="s">
        <v>39</v>
      </c>
    </row>
    <row r="28" customFormat="false" ht="15" hidden="false" customHeight="true" outlineLevel="0" collapsed="false">
      <c r="A28" s="5" t="s">
        <v>7</v>
      </c>
      <c r="B28" s="5" t="s">
        <v>33</v>
      </c>
      <c r="C28" s="5" t="s">
        <v>24</v>
      </c>
      <c r="D28" s="6" t="n">
        <v>11.86</v>
      </c>
      <c r="E28" s="7" t="s">
        <v>39</v>
      </c>
    </row>
    <row r="29" customFormat="false" ht="15" hidden="false" customHeight="true" outlineLevel="0" collapsed="false">
      <c r="A29" s="5" t="s">
        <v>7</v>
      </c>
      <c r="B29" s="5" t="s">
        <v>33</v>
      </c>
      <c r="C29" s="5" t="s">
        <v>26</v>
      </c>
      <c r="D29" s="6" t="n">
        <v>1870.42</v>
      </c>
      <c r="E29" s="7" t="s">
        <v>40</v>
      </c>
    </row>
    <row r="30" customFormat="false" ht="15" hidden="false" customHeight="true" outlineLevel="0" collapsed="false">
      <c r="A30" s="5" t="s">
        <v>7</v>
      </c>
      <c r="B30" s="5" t="s">
        <v>33</v>
      </c>
      <c r="C30" s="5" t="s">
        <v>28</v>
      </c>
      <c r="D30" s="6" t="n">
        <v>123557.14</v>
      </c>
      <c r="E30" s="7" t="s">
        <v>41</v>
      </c>
    </row>
    <row r="31" customFormat="false" ht="15" hidden="false" customHeight="true" outlineLevel="0" collapsed="false">
      <c r="A31" s="5" t="s">
        <v>7</v>
      </c>
      <c r="B31" s="5" t="s">
        <v>33</v>
      </c>
      <c r="C31" s="5" t="s">
        <v>30</v>
      </c>
      <c r="D31" s="6" t="n">
        <v>404.5</v>
      </c>
      <c r="E31" s="7" t="s">
        <v>40</v>
      </c>
    </row>
    <row r="32" customFormat="false" ht="15" hidden="false" customHeight="true" outlineLevel="0" collapsed="false">
      <c r="A32" s="5" t="s">
        <v>7</v>
      </c>
      <c r="B32" s="5" t="s">
        <v>33</v>
      </c>
      <c r="C32" s="5" t="s">
        <v>31</v>
      </c>
      <c r="D32" s="6" t="n">
        <v>120885.75</v>
      </c>
      <c r="E32" s="7" t="s">
        <v>42</v>
      </c>
    </row>
    <row r="33" customFormat="false" ht="15" hidden="false" customHeight="true" outlineLevel="0" collapsed="false">
      <c r="A33" s="5" t="s">
        <v>43</v>
      </c>
      <c r="B33" s="5" t="s">
        <v>8</v>
      </c>
      <c r="C33" s="5" t="s">
        <v>9</v>
      </c>
      <c r="D33" s="6" t="n">
        <v>367869.56</v>
      </c>
      <c r="E33" s="7" t="s">
        <v>44</v>
      </c>
    </row>
    <row r="34" customFormat="false" ht="15" hidden="false" customHeight="true" outlineLevel="0" collapsed="false">
      <c r="A34" s="5" t="s">
        <v>43</v>
      </c>
      <c r="B34" s="5" t="s">
        <v>8</v>
      </c>
      <c r="C34" s="5" t="s">
        <v>11</v>
      </c>
      <c r="D34" s="6" t="n">
        <v>304359.16</v>
      </c>
      <c r="E34" s="7" t="s">
        <v>45</v>
      </c>
    </row>
    <row r="35" customFormat="false" ht="15" hidden="false" customHeight="true" outlineLevel="0" collapsed="false">
      <c r="A35" s="5" t="s">
        <v>43</v>
      </c>
      <c r="B35" s="5" t="s">
        <v>8</v>
      </c>
      <c r="C35" s="5" t="s">
        <v>13</v>
      </c>
      <c r="D35" s="6" t="n">
        <v>87995.71</v>
      </c>
      <c r="E35" s="7" t="s">
        <v>14</v>
      </c>
    </row>
    <row r="36" customFormat="false" ht="15" hidden="false" customHeight="true" outlineLevel="0" collapsed="false">
      <c r="A36" s="5" t="s">
        <v>43</v>
      </c>
      <c r="B36" s="5" t="s">
        <v>8</v>
      </c>
      <c r="C36" s="5" t="s">
        <v>15</v>
      </c>
      <c r="D36" s="6" t="n">
        <v>275217.6</v>
      </c>
      <c r="E36" s="7" t="s">
        <v>46</v>
      </c>
    </row>
    <row r="37" customFormat="false" ht="15" hidden="false" customHeight="true" outlineLevel="0" collapsed="false">
      <c r="A37" s="5" t="s">
        <v>43</v>
      </c>
      <c r="B37" s="5" t="s">
        <v>8</v>
      </c>
      <c r="C37" s="5" t="s">
        <v>17</v>
      </c>
      <c r="D37" s="6" t="n">
        <v>51548.57</v>
      </c>
      <c r="E37" s="7" t="s">
        <v>18</v>
      </c>
    </row>
    <row r="38" customFormat="false" ht="15" hidden="false" customHeight="true" outlineLevel="0" collapsed="false">
      <c r="A38" s="5" t="s">
        <v>43</v>
      </c>
      <c r="B38" s="5" t="s">
        <v>8</v>
      </c>
      <c r="C38" s="5" t="s">
        <v>19</v>
      </c>
      <c r="D38" s="6" t="n">
        <v>18437.35</v>
      </c>
      <c r="E38" s="7" t="s">
        <v>18</v>
      </c>
    </row>
    <row r="39" customFormat="false" ht="15" hidden="false" customHeight="true" outlineLevel="0" collapsed="false">
      <c r="A39" s="5" t="s">
        <v>43</v>
      </c>
      <c r="B39" s="5" t="s">
        <v>8</v>
      </c>
      <c r="C39" s="5" t="s">
        <v>20</v>
      </c>
      <c r="D39" s="6" t="n">
        <v>59419.84</v>
      </c>
      <c r="E39" s="7" t="s">
        <v>18</v>
      </c>
    </row>
    <row r="40" customFormat="false" ht="15" hidden="false" customHeight="true" outlineLevel="0" collapsed="false">
      <c r="A40" s="5" t="s">
        <v>43</v>
      </c>
      <c r="B40" s="5" t="s">
        <v>8</v>
      </c>
      <c r="C40" s="5" t="s">
        <v>21</v>
      </c>
      <c r="D40" s="6" t="n">
        <v>16661.5</v>
      </c>
      <c r="E40" s="7" t="s">
        <v>47</v>
      </c>
    </row>
    <row r="41" customFormat="false" ht="15" hidden="false" customHeight="true" outlineLevel="0" collapsed="false">
      <c r="A41" s="5" t="s">
        <v>43</v>
      </c>
      <c r="B41" s="5" t="s">
        <v>8</v>
      </c>
      <c r="C41" s="5" t="s">
        <v>22</v>
      </c>
      <c r="D41" s="6" t="n">
        <v>21.93</v>
      </c>
      <c r="E41" s="7" t="s">
        <v>48</v>
      </c>
    </row>
    <row r="42" customFormat="false" ht="15" hidden="false" customHeight="true" outlineLevel="0" collapsed="false">
      <c r="A42" s="5" t="s">
        <v>43</v>
      </c>
      <c r="B42" s="5" t="s">
        <v>8</v>
      </c>
      <c r="C42" s="5" t="s">
        <v>24</v>
      </c>
      <c r="D42" s="6" t="n">
        <v>21.09</v>
      </c>
      <c r="E42" s="7" t="s">
        <v>48</v>
      </c>
    </row>
    <row r="43" customFormat="false" ht="15" hidden="false" customHeight="true" outlineLevel="0" collapsed="false">
      <c r="A43" s="5" t="s">
        <v>43</v>
      </c>
      <c r="B43" s="5" t="s">
        <v>8</v>
      </c>
      <c r="C43" s="5" t="s">
        <v>26</v>
      </c>
      <c r="D43" s="6" t="n">
        <v>3677.75</v>
      </c>
      <c r="E43" s="7" t="s">
        <v>49</v>
      </c>
    </row>
    <row r="44" customFormat="false" ht="15" hidden="false" customHeight="true" outlineLevel="0" collapsed="false">
      <c r="A44" s="5" t="s">
        <v>43</v>
      </c>
      <c r="B44" s="5" t="s">
        <v>8</v>
      </c>
      <c r="C44" s="5" t="s">
        <v>28</v>
      </c>
      <c r="D44" s="6" t="n">
        <v>310761.52</v>
      </c>
      <c r="E44" s="7" t="s">
        <v>50</v>
      </c>
    </row>
    <row r="45" customFormat="false" ht="15" hidden="false" customHeight="true" outlineLevel="0" collapsed="false">
      <c r="A45" s="5" t="s">
        <v>43</v>
      </c>
      <c r="B45" s="5" t="s">
        <v>8</v>
      </c>
      <c r="C45" s="5" t="s">
        <v>30</v>
      </c>
      <c r="D45" s="6" t="n">
        <v>1720.41</v>
      </c>
      <c r="E45" s="7" t="s">
        <v>27</v>
      </c>
    </row>
    <row r="46" customFormat="false" ht="15" hidden="false" customHeight="true" outlineLevel="0" collapsed="false">
      <c r="A46" s="5" t="s">
        <v>43</v>
      </c>
      <c r="B46" s="5" t="s">
        <v>8</v>
      </c>
      <c r="C46" s="5" t="s">
        <v>31</v>
      </c>
      <c r="D46" s="6" t="n">
        <v>304359.16</v>
      </c>
      <c r="E46" s="7" t="s">
        <v>32</v>
      </c>
    </row>
    <row r="47" customFormat="false" ht="15" hidden="false" customHeight="true" outlineLevel="0" collapsed="false">
      <c r="A47" s="5" t="s">
        <v>43</v>
      </c>
      <c r="B47" s="5" t="s">
        <v>33</v>
      </c>
      <c r="C47" s="5" t="s">
        <v>9</v>
      </c>
      <c r="D47" s="6" t="n">
        <v>296614.45</v>
      </c>
      <c r="E47" s="7" t="s">
        <v>51</v>
      </c>
    </row>
    <row r="48" customFormat="false" ht="15" hidden="false" customHeight="true" outlineLevel="0" collapsed="false">
      <c r="A48" s="5" t="s">
        <v>43</v>
      </c>
      <c r="B48" s="5" t="s">
        <v>33</v>
      </c>
      <c r="C48" s="5" t="s">
        <v>11</v>
      </c>
      <c r="D48" s="6" t="n">
        <v>243334.43</v>
      </c>
      <c r="E48" s="7" t="s">
        <v>35</v>
      </c>
    </row>
    <row r="49" customFormat="false" ht="15" hidden="false" customHeight="true" outlineLevel="0" collapsed="false">
      <c r="A49" s="5" t="s">
        <v>43</v>
      </c>
      <c r="B49" s="5" t="s">
        <v>33</v>
      </c>
      <c r="C49" s="5" t="s">
        <v>13</v>
      </c>
      <c r="D49" s="6" t="n">
        <v>72010.53</v>
      </c>
      <c r="E49" s="7" t="s">
        <v>36</v>
      </c>
    </row>
    <row r="50" customFormat="false" ht="15" hidden="false" customHeight="true" outlineLevel="0" collapsed="false">
      <c r="A50" s="5" t="s">
        <v>43</v>
      </c>
      <c r="B50" s="5" t="s">
        <v>33</v>
      </c>
      <c r="C50" s="5" t="s">
        <v>15</v>
      </c>
      <c r="D50" s="6" t="n">
        <v>220378.65</v>
      </c>
      <c r="E50" s="7" t="s">
        <v>52</v>
      </c>
    </row>
    <row r="51" customFormat="false" ht="15" hidden="false" customHeight="true" outlineLevel="0" collapsed="false">
      <c r="A51" s="5" t="s">
        <v>43</v>
      </c>
      <c r="B51" s="5" t="s">
        <v>33</v>
      </c>
      <c r="C51" s="5" t="s">
        <v>17</v>
      </c>
      <c r="D51" s="6" t="n">
        <v>40782.76</v>
      </c>
      <c r="E51" s="7" t="s">
        <v>53</v>
      </c>
    </row>
    <row r="52" customFormat="false" ht="15" hidden="false" customHeight="true" outlineLevel="0" collapsed="false">
      <c r="A52" s="5" t="s">
        <v>43</v>
      </c>
      <c r="B52" s="5" t="s">
        <v>33</v>
      </c>
      <c r="C52" s="5" t="s">
        <v>19</v>
      </c>
      <c r="D52" s="6" t="n">
        <v>13843.44</v>
      </c>
      <c r="E52" s="7" t="s">
        <v>53</v>
      </c>
    </row>
    <row r="53" customFormat="false" ht="15" hidden="false" customHeight="true" outlineLevel="0" collapsed="false">
      <c r="A53" s="5" t="s">
        <v>43</v>
      </c>
      <c r="B53" s="5" t="s">
        <v>33</v>
      </c>
      <c r="C53" s="5" t="s">
        <v>20</v>
      </c>
      <c r="D53" s="6" t="n">
        <v>46945.98</v>
      </c>
      <c r="E53" s="7" t="s">
        <v>53</v>
      </c>
    </row>
    <row r="54" customFormat="false" ht="15" hidden="false" customHeight="true" outlineLevel="0" collapsed="false">
      <c r="A54" s="5" t="s">
        <v>43</v>
      </c>
      <c r="B54" s="5" t="s">
        <v>33</v>
      </c>
      <c r="C54" s="5" t="s">
        <v>21</v>
      </c>
      <c r="D54" s="6" t="n">
        <v>12644.11</v>
      </c>
      <c r="E54" s="7" t="s">
        <v>53</v>
      </c>
    </row>
    <row r="55" customFormat="false" ht="15" hidden="false" customHeight="true" outlineLevel="0" collapsed="false">
      <c r="A55" s="5" t="s">
        <v>43</v>
      </c>
      <c r="B55" s="5" t="s">
        <v>33</v>
      </c>
      <c r="C55" s="5" t="s">
        <v>22</v>
      </c>
      <c r="D55" s="6" t="n">
        <v>22.52</v>
      </c>
      <c r="E55" s="7" t="s">
        <v>54</v>
      </c>
    </row>
    <row r="56" customFormat="false" ht="15" hidden="false" customHeight="true" outlineLevel="0" collapsed="false">
      <c r="A56" s="5" t="s">
        <v>43</v>
      </c>
      <c r="B56" s="5" t="s">
        <v>33</v>
      </c>
      <c r="C56" s="5" t="s">
        <v>24</v>
      </c>
      <c r="D56" s="6" t="n">
        <v>21.51</v>
      </c>
      <c r="E56" s="7" t="s">
        <v>55</v>
      </c>
    </row>
    <row r="57" customFormat="false" ht="15" hidden="false" customHeight="true" outlineLevel="0" collapsed="false">
      <c r="A57" s="5" t="s">
        <v>43</v>
      </c>
      <c r="B57" s="5" t="s">
        <v>33</v>
      </c>
      <c r="C57" s="5" t="s">
        <v>26</v>
      </c>
      <c r="D57" s="6" t="n">
        <v>2600.38</v>
      </c>
      <c r="E57" s="7" t="s">
        <v>56</v>
      </c>
    </row>
    <row r="58" customFormat="false" ht="15" hidden="false" customHeight="true" outlineLevel="0" collapsed="false">
      <c r="A58" s="5" t="s">
        <v>43</v>
      </c>
      <c r="B58" s="5" t="s">
        <v>33</v>
      </c>
      <c r="C58" s="5" t="s">
        <v>28</v>
      </c>
      <c r="D58" s="6" t="n">
        <v>247852.53</v>
      </c>
      <c r="E58" s="7" t="s">
        <v>57</v>
      </c>
    </row>
    <row r="59" customFormat="false" ht="15" hidden="false" customHeight="true" outlineLevel="0" collapsed="false">
      <c r="A59" s="5" t="s">
        <v>43</v>
      </c>
      <c r="B59" s="5" t="s">
        <v>33</v>
      </c>
      <c r="C59" s="5" t="s">
        <v>30</v>
      </c>
      <c r="D59" s="6" t="n">
        <v>1132.09</v>
      </c>
      <c r="E59" s="7" t="s">
        <v>58</v>
      </c>
    </row>
    <row r="60" customFormat="false" ht="15" hidden="false" customHeight="true" outlineLevel="0" collapsed="false">
      <c r="A60" s="5" t="s">
        <v>43</v>
      </c>
      <c r="B60" s="5" t="s">
        <v>33</v>
      </c>
      <c r="C60" s="5" t="s">
        <v>31</v>
      </c>
      <c r="D60" s="6" t="n">
        <v>243334.43</v>
      </c>
      <c r="E60" s="7" t="s">
        <v>42</v>
      </c>
    </row>
    <row r="61" customFormat="false" ht="15" hidden="false" customHeight="true" outlineLevel="0" collapsed="false">
      <c r="A61" s="5" t="s">
        <v>59</v>
      </c>
      <c r="B61" s="5" t="s">
        <v>8</v>
      </c>
      <c r="C61" s="5" t="s">
        <v>9</v>
      </c>
      <c r="D61" s="6" t="n">
        <v>39835.57</v>
      </c>
      <c r="E61" s="7" t="s">
        <v>60</v>
      </c>
    </row>
    <row r="62" customFormat="false" ht="15" hidden="false" customHeight="true" outlineLevel="0" collapsed="false">
      <c r="A62" s="5" t="s">
        <v>59</v>
      </c>
      <c r="B62" s="5" t="s">
        <v>8</v>
      </c>
      <c r="C62" s="5" t="s">
        <v>11</v>
      </c>
      <c r="D62" s="6" t="n">
        <v>33403.02</v>
      </c>
      <c r="E62" s="7" t="s">
        <v>61</v>
      </c>
    </row>
    <row r="63" customFormat="false" ht="15" hidden="false" customHeight="true" outlineLevel="0" collapsed="false">
      <c r="A63" s="5" t="s">
        <v>59</v>
      </c>
      <c r="B63" s="5" t="s">
        <v>8</v>
      </c>
      <c r="C63" s="5" t="s">
        <v>13</v>
      </c>
      <c r="D63" s="6" t="n">
        <v>11792.84</v>
      </c>
      <c r="E63" s="7" t="s">
        <v>62</v>
      </c>
    </row>
    <row r="64" customFormat="false" ht="15" hidden="false" customHeight="true" outlineLevel="0" collapsed="false">
      <c r="A64" s="5" t="s">
        <v>59</v>
      </c>
      <c r="B64" s="5" t="s">
        <v>8</v>
      </c>
      <c r="C64" s="5" t="s">
        <v>15</v>
      </c>
      <c r="D64" s="6" t="n">
        <v>27045.9</v>
      </c>
      <c r="E64" s="7" t="s">
        <v>63</v>
      </c>
    </row>
    <row r="65" customFormat="false" ht="15" hidden="false" customHeight="true" outlineLevel="0" collapsed="false">
      <c r="A65" s="5" t="s">
        <v>59</v>
      </c>
      <c r="B65" s="5" t="s">
        <v>8</v>
      </c>
      <c r="C65" s="5" t="s">
        <v>17</v>
      </c>
      <c r="D65" s="6" t="n">
        <v>6807.01</v>
      </c>
      <c r="E65" s="7" t="s">
        <v>64</v>
      </c>
    </row>
    <row r="66" customFormat="false" ht="15" hidden="false" customHeight="true" outlineLevel="0" collapsed="false">
      <c r="A66" s="5" t="s">
        <v>59</v>
      </c>
      <c r="B66" s="5" t="s">
        <v>8</v>
      </c>
      <c r="C66" s="5" t="s">
        <v>19</v>
      </c>
      <c r="D66" s="6" t="n">
        <v>2376.13</v>
      </c>
      <c r="E66" s="7" t="s">
        <v>64</v>
      </c>
    </row>
    <row r="67" customFormat="false" ht="15" hidden="false" customHeight="true" outlineLevel="0" collapsed="false">
      <c r="A67" s="5" t="s">
        <v>59</v>
      </c>
      <c r="B67" s="5" t="s">
        <v>8</v>
      </c>
      <c r="C67" s="5" t="s">
        <v>20</v>
      </c>
      <c r="D67" s="6" t="n">
        <v>6914.47</v>
      </c>
      <c r="E67" s="7" t="s">
        <v>64</v>
      </c>
    </row>
    <row r="68" customFormat="false" ht="15" hidden="false" customHeight="true" outlineLevel="0" collapsed="false">
      <c r="A68" s="5" t="s">
        <v>59</v>
      </c>
      <c r="B68" s="5" t="s">
        <v>8</v>
      </c>
      <c r="C68" s="5" t="s">
        <v>21</v>
      </c>
      <c r="D68" s="6" t="n">
        <v>1783.27</v>
      </c>
      <c r="E68" s="7" t="s">
        <v>64</v>
      </c>
    </row>
    <row r="69" customFormat="false" ht="15" hidden="false" customHeight="true" outlineLevel="0" collapsed="false">
      <c r="A69" s="5" t="s">
        <v>59</v>
      </c>
      <c r="B69" s="5" t="s">
        <v>8</v>
      </c>
      <c r="C69" s="5" t="s">
        <v>22</v>
      </c>
      <c r="D69" s="6" t="n">
        <v>30.91</v>
      </c>
      <c r="E69" s="7" t="s">
        <v>65</v>
      </c>
    </row>
    <row r="70" customFormat="false" ht="15" hidden="false" customHeight="true" outlineLevel="0" collapsed="false">
      <c r="A70" s="5" t="s">
        <v>59</v>
      </c>
      <c r="B70" s="5" t="s">
        <v>8</v>
      </c>
      <c r="C70" s="5" t="s">
        <v>24</v>
      </c>
      <c r="D70" s="6"/>
      <c r="E70" s="7" t="s">
        <v>66</v>
      </c>
    </row>
    <row r="71" customFormat="false" ht="15" hidden="false" customHeight="true" outlineLevel="0" collapsed="false">
      <c r="A71" s="5" t="s">
        <v>59</v>
      </c>
      <c r="B71" s="5" t="s">
        <v>8</v>
      </c>
      <c r="C71" s="5" t="s">
        <v>26</v>
      </c>
      <c r="D71" s="6" t="n">
        <v>890.57</v>
      </c>
      <c r="E71" s="7" t="s">
        <v>67</v>
      </c>
    </row>
    <row r="72" customFormat="false" ht="15" hidden="false" customHeight="true" outlineLevel="0" collapsed="false">
      <c r="A72" s="5" t="s">
        <v>59</v>
      </c>
      <c r="B72" s="5" t="s">
        <v>8</v>
      </c>
      <c r="C72" s="5" t="s">
        <v>28</v>
      </c>
      <c r="D72" s="6" t="n">
        <v>32862.55</v>
      </c>
      <c r="E72" s="7" t="s">
        <v>68</v>
      </c>
    </row>
    <row r="73" customFormat="false" ht="15" hidden="false" customHeight="true" outlineLevel="0" collapsed="false">
      <c r="A73" s="5" t="s">
        <v>59</v>
      </c>
      <c r="B73" s="5" t="s">
        <v>8</v>
      </c>
      <c r="C73" s="5" t="s">
        <v>30</v>
      </c>
      <c r="D73" s="6" t="n">
        <v>775.73</v>
      </c>
      <c r="E73" s="7" t="s">
        <v>67</v>
      </c>
    </row>
    <row r="74" customFormat="false" ht="15" hidden="false" customHeight="true" outlineLevel="0" collapsed="false">
      <c r="A74" s="5" t="s">
        <v>59</v>
      </c>
      <c r="B74" s="5" t="s">
        <v>8</v>
      </c>
      <c r="C74" s="5" t="s">
        <v>31</v>
      </c>
      <c r="D74" s="6" t="n">
        <v>32574.9</v>
      </c>
      <c r="E74" s="7" t="s">
        <v>69</v>
      </c>
    </row>
    <row r="75" customFormat="false" ht="15" hidden="false" customHeight="true" outlineLevel="0" collapsed="false">
      <c r="A75" s="5" t="s">
        <v>59</v>
      </c>
      <c r="B75" s="5" t="s">
        <v>33</v>
      </c>
      <c r="C75" s="5" t="s">
        <v>9</v>
      </c>
      <c r="D75" s="6" t="n">
        <v>33893.06</v>
      </c>
      <c r="E75" s="7" t="s">
        <v>70</v>
      </c>
    </row>
    <row r="76" customFormat="false" ht="15" hidden="false" customHeight="true" outlineLevel="0" collapsed="false">
      <c r="A76" s="5" t="s">
        <v>59</v>
      </c>
      <c r="B76" s="5" t="s">
        <v>33</v>
      </c>
      <c r="C76" s="5" t="s">
        <v>11</v>
      </c>
      <c r="D76" s="6" t="n">
        <v>29058.89</v>
      </c>
      <c r="E76" s="7" t="s">
        <v>71</v>
      </c>
    </row>
    <row r="77" customFormat="false" ht="15" hidden="false" customHeight="true" outlineLevel="0" collapsed="false">
      <c r="A77" s="5" t="s">
        <v>59</v>
      </c>
      <c r="B77" s="5" t="s">
        <v>33</v>
      </c>
      <c r="C77" s="5" t="s">
        <v>13</v>
      </c>
      <c r="D77" s="6" t="n">
        <v>10349.27</v>
      </c>
      <c r="E77" s="7" t="s">
        <v>72</v>
      </c>
    </row>
    <row r="78" customFormat="false" ht="15" hidden="false" customHeight="true" outlineLevel="0" collapsed="false">
      <c r="A78" s="5" t="s">
        <v>59</v>
      </c>
      <c r="B78" s="5" t="s">
        <v>33</v>
      </c>
      <c r="C78" s="5" t="s">
        <v>15</v>
      </c>
      <c r="D78" s="6" t="n">
        <v>22466.83</v>
      </c>
      <c r="E78" s="7" t="s">
        <v>73</v>
      </c>
    </row>
    <row r="79" customFormat="false" ht="15" hidden="false" customHeight="true" outlineLevel="0" collapsed="false">
      <c r="A79" s="5" t="s">
        <v>59</v>
      </c>
      <c r="B79" s="5" t="s">
        <v>33</v>
      </c>
      <c r="C79" s="5" t="s">
        <v>17</v>
      </c>
      <c r="D79" s="6" t="n">
        <v>5754.49</v>
      </c>
      <c r="E79" s="7" t="s">
        <v>74</v>
      </c>
    </row>
    <row r="80" customFormat="false" ht="15" hidden="false" customHeight="true" outlineLevel="0" collapsed="false">
      <c r="A80" s="5" t="s">
        <v>59</v>
      </c>
      <c r="B80" s="5" t="s">
        <v>33</v>
      </c>
      <c r="C80" s="5" t="s">
        <v>19</v>
      </c>
      <c r="D80" s="6" t="n">
        <v>1828.04</v>
      </c>
      <c r="E80" s="7" t="s">
        <v>74</v>
      </c>
    </row>
    <row r="81" customFormat="false" ht="15" hidden="false" customHeight="true" outlineLevel="0" collapsed="false">
      <c r="A81" s="5" t="s">
        <v>59</v>
      </c>
      <c r="B81" s="5" t="s">
        <v>33</v>
      </c>
      <c r="C81" s="5" t="s">
        <v>20</v>
      </c>
      <c r="D81" s="6" t="n">
        <v>5854.65</v>
      </c>
      <c r="E81" s="7" t="s">
        <v>74</v>
      </c>
    </row>
    <row r="82" customFormat="false" ht="15" hidden="false" customHeight="true" outlineLevel="0" collapsed="false">
      <c r="A82" s="5" t="s">
        <v>59</v>
      </c>
      <c r="B82" s="5" t="s">
        <v>33</v>
      </c>
      <c r="C82" s="5" t="s">
        <v>21</v>
      </c>
      <c r="D82" s="6" t="n">
        <v>1657.73</v>
      </c>
      <c r="E82" s="7" t="s">
        <v>74</v>
      </c>
    </row>
    <row r="83" customFormat="false" ht="15" hidden="false" customHeight="true" outlineLevel="0" collapsed="false">
      <c r="A83" s="5" t="s">
        <v>59</v>
      </c>
      <c r="B83" s="5" t="s">
        <v>33</v>
      </c>
      <c r="C83" s="5" t="s">
        <v>22</v>
      </c>
      <c r="D83" s="6"/>
      <c r="E83" s="7" t="s">
        <v>75</v>
      </c>
    </row>
    <row r="84" customFormat="false" ht="15" hidden="false" customHeight="true" outlineLevel="0" collapsed="false">
      <c r="A84" s="5" t="s">
        <v>59</v>
      </c>
      <c r="B84" s="5" t="s">
        <v>33</v>
      </c>
      <c r="C84" s="5" t="s">
        <v>24</v>
      </c>
      <c r="D84" s="6"/>
      <c r="E84" s="7" t="s">
        <v>76</v>
      </c>
    </row>
    <row r="85" customFormat="false" ht="15" hidden="false" customHeight="true" outlineLevel="0" collapsed="false">
      <c r="A85" s="5" t="s">
        <v>59</v>
      </c>
      <c r="B85" s="5" t="s">
        <v>33</v>
      </c>
      <c r="C85" s="5" t="s">
        <v>26</v>
      </c>
      <c r="D85" s="6" t="n">
        <v>546.66</v>
      </c>
      <c r="E85" s="7" t="s">
        <v>77</v>
      </c>
    </row>
    <row r="86" customFormat="false" ht="15" hidden="false" customHeight="true" outlineLevel="0" collapsed="false">
      <c r="A86" s="5" t="s">
        <v>59</v>
      </c>
      <c r="B86" s="5" t="s">
        <v>33</v>
      </c>
      <c r="C86" s="5" t="s">
        <v>28</v>
      </c>
      <c r="D86" s="6" t="n">
        <v>28481.19</v>
      </c>
      <c r="E86" s="7" t="s">
        <v>78</v>
      </c>
    </row>
    <row r="87" customFormat="false" ht="15" hidden="false" customHeight="true" outlineLevel="0" collapsed="false">
      <c r="A87" s="5" t="s">
        <v>59</v>
      </c>
      <c r="B87" s="5" t="s">
        <v>33</v>
      </c>
      <c r="C87" s="5" t="s">
        <v>30</v>
      </c>
      <c r="D87" s="6" t="n">
        <v>479.58</v>
      </c>
      <c r="E87" s="7" t="s">
        <v>77</v>
      </c>
    </row>
    <row r="88" customFormat="false" ht="15" hidden="false" customHeight="true" outlineLevel="0" collapsed="false">
      <c r="A88" s="5" t="s">
        <v>59</v>
      </c>
      <c r="B88" s="5" t="s">
        <v>33</v>
      </c>
      <c r="C88" s="5" t="s">
        <v>31</v>
      </c>
      <c r="D88" s="6" t="n">
        <v>28268.88</v>
      </c>
      <c r="E88" s="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5" min="3" style="1" width="12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10" min="8" style="1" width="12"/>
  </cols>
  <sheetData>
    <row r="1" customFormat="false" ht="17.25" hidden="false" customHeight="true" outlineLevel="0" collapsed="false">
      <c r="A1" s="2" t="s">
        <v>80</v>
      </c>
    </row>
    <row r="2" customFormat="false" ht="15" hidden="false" customHeight="true" outlineLevel="0" collapsed="false">
      <c r="A2" s="3" t="s">
        <v>81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22</v>
      </c>
      <c r="I4" s="4" t="s">
        <v>87</v>
      </c>
      <c r="J4" s="4" t="s">
        <v>88</v>
      </c>
    </row>
    <row r="5" customFormat="false" ht="15" hidden="false" customHeight="true" outlineLevel="0" collapsed="false">
      <c r="A5" s="5" t="s">
        <v>7</v>
      </c>
      <c r="B5" s="5" t="s">
        <v>8</v>
      </c>
      <c r="C5" s="8" t="n">
        <f aca="false">IFERROR((SUMIFS(Raw_Data!$D$5:$D$88,Raw_Data!$A$5:$A$88,$A5,Raw_Data!$B$5:$B$88,$B5,Raw_Data!$C$5:$C$88,"Interest Income")-SUMIFS(Raw_Data!$D$5:$D$88,Raw_Data!$A$5:$A$88,$A5,Raw_Data!$B$5:$B$88,$B5,Raw_Data!$C$5:$C$88,"Finance Costs (Interest Expense)"))/SUMIFS(Raw_Data!$D$5:$D$88,Raw_Data!$A$5:$A$88,$A5,Raw_Data!$B$5:$B$88,$B5,Raw_Data!$C$5:$C$88,"Total Assets"),"")</f>
        <v>0.0461279734208136</v>
      </c>
      <c r="D5" s="8" t="n">
        <f aca="false">IFERROR(SUMIFS(Raw_Data!$D$5:$D$88,Raw_Data!$A$5:$A$88,$A5,Raw_Data!$B$5:$B$88,$B5,Raw_Data!$C$5:$C$88,"Profit After Tax (PAT)")/SUMIFS(Raw_Data!$D$5:$D$88,Raw_Data!$A$5:$A$88,$A5,Raw_Data!$B$5:$B$88,$B5,Raw_Data!$C$5:$C$88,"Total Assets"),"")</f>
        <v>0.0143936933798431</v>
      </c>
      <c r="E5" s="8" t="n">
        <f aca="false">IFERROR(SUMIFS(Raw_Data!$D$5:$D$88,Raw_Data!$A$5:$A$88,$A5,Raw_Data!$B$5:$B$88,$B5,Raw_Data!$C$5:$C$88,"Profit After Tax (PAT)")/SUMIFS(Raw_Data!$D$5:$D$88,Raw_Data!$A$5:$A$88,$A5,Raw_Data!$B$5:$B$88,$B5,Raw_Data!$C$5:$C$88,"Total Equity"),"")</f>
        <v>0.0923269430339473</v>
      </c>
      <c r="F5" s="9" t="n">
        <f aca="false">IFERROR(SUMIFS(Raw_Data!$D$5:$D$88,Raw_Data!$A$5:$A$88,$A5,Raw_Data!$B$5:$B$88,$B5,Raw_Data!$C$5:$C$88,"Profit After Tax (PAT)")/SUMIFS(Raw_Data!$D$5:$D$88,Raw_Data!$A$5:$A$88,$A5,Raw_Data!$B$5:$B$88,$B5,Raw_Data!$C$5:$C$88,"Total Income"),"")</f>
        <v>0.118243871489985</v>
      </c>
      <c r="G5" s="8" t="n">
        <f aca="false">IFERROR(SUMIFS(Raw_Data!$D$5:$D$88,Raw_Data!$A$5:$A$88,$A5,Raw_Data!$B$5:$B$88,$B5,Raw_Data!$C$5:$C$88,"Total Borrowings (Debt Securities + Borrowings + Subordinated Liabilities)")/SUMIFS(Raw_Data!$D$5:$D$88,Raw_Data!$A$5:$A$88,$A5,Raw_Data!$B$5:$B$88,$B5,Raw_Data!$C$5:$C$88,"Total Equity"),"")</f>
        <v>5.24355880883339</v>
      </c>
      <c r="H5" s="8" t="n">
        <f aca="false">IFERROR(SUMIFS(Raw_Data!$D$5:$D$88,Raw_Data!$A$5:$A$88,$A5,Raw_Data!$B$5:$B$88,$B5,Raw_Data!$C$5:$C$88,"CRAR (%)")/100,"")</f>
        <v>0.1691</v>
      </c>
      <c r="I5" s="8" t="n">
        <f aca="false">IFERROR(SUMIFS(Raw_Data!$D$5:$D$88,Raw_Data!$A$5:$A$88,$A5,Raw_Data!$B$5:$B$88,$B5,Raw_Data!$C$5:$C$88,"Gross NPA (Stage 3 Gross Carrying Amount)")/SUMIFS(Raw_Data!$D$5:$D$88,Raw_Data!$A$5:$A$88,$A5,Raw_Data!$B$5:$B$88,$B5,Raw_Data!$C$5:$C$88,"Total Gross Loans (for GNPA%)"),"")</f>
        <v>0.0209141855018432</v>
      </c>
      <c r="J5" s="8" t="n">
        <f aca="false">IFERROR(SUMIFS(Raw_Data!$D$5:$D$88,Raw_Data!$A$5:$A$88,$A5,Raw_Data!$B$5:$B$88,$B5,Raw_Data!$C$5:$C$88,"Net NPA (Stage 3 Net Carrying Amount)")/SUMIFS(Raw_Data!$D$5:$D$88,Raw_Data!$A$5:$A$88,$A5,Raw_Data!$B$5:$B$88,$B5,Raw_Data!$C$5:$C$88,"Total Net Loans (for NNPA%)"),"")</f>
        <v>0.0088522400517727</v>
      </c>
    </row>
    <row r="6" customFormat="false" ht="15" hidden="false" customHeight="true" outlineLevel="0" collapsed="false">
      <c r="A6" s="5" t="s">
        <v>7</v>
      </c>
      <c r="B6" s="5" t="s">
        <v>33</v>
      </c>
      <c r="C6" s="8" t="n">
        <f aca="false">IFERROR((SUMIFS(Raw_Data!$D$5:$D$88,Raw_Data!$A$5:$A$88,$A6,Raw_Data!$B$5:$B$88,$B6,Raw_Data!$C$5:$C$88,"Interest Income")-SUMIFS(Raw_Data!$D$5:$D$88,Raw_Data!$A$5:$A$88,$A6,Raw_Data!$B$5:$B$88,$B6,Raw_Data!$C$5:$C$88,"Finance Costs (Interest Expense)"))/SUMIFS(Raw_Data!$D$5:$D$88,Raw_Data!$A$5:$A$88,$A6,Raw_Data!$B$5:$B$88,$B6,Raw_Data!$C$5:$C$88,"Total Assets"),"")</f>
        <v>0.0393508820528398</v>
      </c>
      <c r="D6" s="8" t="n">
        <f aca="false">IFERROR(SUMIFS(Raw_Data!$D$5:$D$88,Raw_Data!$A$5:$A$88,$A6,Raw_Data!$B$5:$B$88,$B6,Raw_Data!$C$5:$C$88,"Profit After Tax (PAT)")/SUMIFS(Raw_Data!$D$5:$D$88,Raw_Data!$A$5:$A$88,$A6,Raw_Data!$B$5:$B$88,$B6,Raw_Data!$C$5:$C$88,"Total Assets"),"")</f>
        <v>0.0201470159468144</v>
      </c>
      <c r="E6" s="8" t="n">
        <f aca="false">IFERROR(SUMIFS(Raw_Data!$D$5:$D$88,Raw_Data!$A$5:$A$88,$A6,Raw_Data!$B$5:$B$88,$B6,Raw_Data!$C$5:$C$88,"Profit After Tax (PAT)")/SUMIFS(Raw_Data!$D$5:$D$88,Raw_Data!$A$5:$A$88,$A6,Raw_Data!$B$5:$B$88,$B6,Raw_Data!$C$5:$C$88,"Total Equity"),"")</f>
        <v>0.128130587351085</v>
      </c>
      <c r="F6" s="9" t="n">
        <f aca="false">IFERROR(SUMIFS(Raw_Data!$D$5:$D$88,Raw_Data!$A$5:$A$88,$A6,Raw_Data!$B$5:$B$88,$B6,Raw_Data!$C$5:$C$88,"Profit After Tax (PAT)")/SUMIFS(Raw_Data!$D$5:$D$88,Raw_Data!$A$5:$A$88,$A6,Raw_Data!$B$5:$B$88,$B6,Raw_Data!$C$5:$C$88,"Total Income"),"")</f>
        <v>0.187273980003171</v>
      </c>
      <c r="G6" s="8" t="n">
        <f aca="false">IFERROR(SUMIFS(Raw_Data!$D$5:$D$88,Raw_Data!$A$5:$A$88,$A6,Raw_Data!$B$5:$B$88,$B6,Raw_Data!$C$5:$C$88,"Total Borrowings (Debt Securities + Borrowings + Subordinated Liabilities)")/SUMIFS(Raw_Data!$D$5:$D$88,Raw_Data!$A$5:$A$88,$A6,Raw_Data!$B$5:$B$88,$B6,Raw_Data!$C$5:$C$88,"Total Equity"),"")</f>
        <v>5.18775093278883</v>
      </c>
      <c r="H6" s="8" t="n">
        <f aca="false">IFERROR(SUMIFS(Raw_Data!$D$5:$D$88,Raw_Data!$A$5:$A$88,$A6,Raw_Data!$B$5:$B$88,$B6,Raw_Data!$C$5:$C$88,"CRAR (%)")/100,"")</f>
        <v>0.1672</v>
      </c>
      <c r="I6" s="8" t="n">
        <f aca="false">IFERROR(SUMIFS(Raw_Data!$D$5:$D$88,Raw_Data!$A$5:$A$88,$A6,Raw_Data!$B$5:$B$88,$B6,Raw_Data!$C$5:$C$88,"Gross NPA (Stage 3 Gross Carrying Amount)")/SUMIFS(Raw_Data!$D$5:$D$88,Raw_Data!$A$5:$A$88,$A6,Raw_Data!$B$5:$B$88,$B6,Raw_Data!$C$5:$C$88,"Total Gross Loans (for GNPA%)"),"")</f>
        <v>0.0151380972398681</v>
      </c>
      <c r="J6" s="8" t="n">
        <f aca="false">IFERROR(SUMIFS(Raw_Data!$D$5:$D$88,Raw_Data!$A$5:$A$88,$A6,Raw_Data!$B$5:$B$88,$B6,Raw_Data!$C$5:$C$88,"Net NPA (Stage 3 Net Carrying Amount)")/SUMIFS(Raw_Data!$D$5:$D$88,Raw_Data!$A$5:$A$88,$A6,Raw_Data!$B$5:$B$88,$B6,Raw_Data!$C$5:$C$88,"Total Net Loans (for NNPA%)"),"")</f>
        <v>0.00334613467675057</v>
      </c>
    </row>
    <row r="7" customFormat="false" ht="15" hidden="false" customHeight="true" outlineLevel="0" collapsed="false">
      <c r="A7" s="5" t="s">
        <v>43</v>
      </c>
      <c r="B7" s="5" t="s">
        <v>8</v>
      </c>
      <c r="C7" s="8" t="n">
        <f aca="false">IFERROR((SUMIFS(Raw_Data!$D$5:$D$88,Raw_Data!$A$5:$A$88,$A7,Raw_Data!$B$5:$B$88,$B7,Raw_Data!$C$5:$C$88,"Interest Income")-SUMIFS(Raw_Data!$D$5:$D$88,Raw_Data!$A$5:$A$88,$A7,Raw_Data!$B$5:$B$88,$B7,Raw_Data!$C$5:$C$88,"Finance Costs (Interest Expense)"))/SUMIFS(Raw_Data!$D$5:$D$88,Raw_Data!$A$5:$A$88,$A7,Raw_Data!$B$5:$B$88,$B7,Raw_Data!$C$5:$C$88,"Total Assets"),"")</f>
        <v>0.0900080452429932</v>
      </c>
      <c r="D7" s="8" t="n">
        <f aca="false">IFERROR(SUMIFS(Raw_Data!$D$5:$D$88,Raw_Data!$A$5:$A$88,$A7,Raw_Data!$B$5:$B$88,$B7,Raw_Data!$C$5:$C$88,"Profit After Tax (PAT)")/SUMIFS(Raw_Data!$D$5:$D$88,Raw_Data!$A$5:$A$88,$A7,Raw_Data!$B$5:$B$88,$B7,Raw_Data!$C$5:$C$88,"Total Assets"),"")</f>
        <v>0.0452918692158166</v>
      </c>
      <c r="E7" s="8" t="n">
        <f aca="false">IFERROR(SUMIFS(Raw_Data!$D$5:$D$88,Raw_Data!$A$5:$A$88,$A7,Raw_Data!$B$5:$B$88,$B7,Raw_Data!$C$5:$C$88,"Profit After Tax (PAT)")/SUMIFS(Raw_Data!$D$5:$D$88,Raw_Data!$A$5:$A$88,$A7,Raw_Data!$B$5:$B$88,$B7,Raw_Data!$C$5:$C$88,"Total Equity"),"")</f>
        <v>0.189344457815046</v>
      </c>
      <c r="F7" s="9" t="n">
        <f aca="false">IFERROR(SUMIFS(Raw_Data!$D$5:$D$88,Raw_Data!$A$5:$A$88,$A7,Raw_Data!$B$5:$B$88,$B7,Raw_Data!$C$5:$C$88,"Profit After Tax (PAT)")/SUMIFS(Raw_Data!$D$5:$D$88,Raw_Data!$A$5:$A$88,$A7,Raw_Data!$B$5:$B$88,$B7,Raw_Data!$C$5:$C$88,"Total Income"),"")</f>
        <v>0.280402976514242</v>
      </c>
      <c r="G7" s="8" t="n">
        <f aca="false">IFERROR(SUMIFS(Raw_Data!$D$5:$D$88,Raw_Data!$A$5:$A$88,$A7,Raw_Data!$B$5:$B$88,$B7,Raw_Data!$C$5:$C$88,"Total Borrowings (Debt Securities + Borrowings + Subordinated Liabilities)")/SUMIFS(Raw_Data!$D$5:$D$88,Raw_Data!$A$5:$A$88,$A7,Raw_Data!$B$5:$B$88,$B7,Raw_Data!$C$5:$C$88,"Total Equity"),"")</f>
        <v>3.12762519900118</v>
      </c>
      <c r="H7" s="8" t="n">
        <f aca="false">IFERROR(SUMIFS(Raw_Data!$D$5:$D$88,Raw_Data!$A$5:$A$88,$A7,Raw_Data!$B$5:$B$88,$B7,Raw_Data!$C$5:$C$88,"CRAR (%)")/100,"")</f>
        <v>0.2193</v>
      </c>
      <c r="I7" s="8" t="n">
        <f aca="false">IFERROR(SUMIFS(Raw_Data!$D$5:$D$88,Raw_Data!$A$5:$A$88,$A7,Raw_Data!$B$5:$B$88,$B7,Raw_Data!$C$5:$C$88,"Gross NPA (Stage 3 Gross Carrying Amount)")/SUMIFS(Raw_Data!$D$5:$D$88,Raw_Data!$A$5:$A$88,$A7,Raw_Data!$B$5:$B$88,$B7,Raw_Data!$C$5:$C$88,"Total Gross Loans (for GNPA%)"),"")</f>
        <v>0.0118346376990304</v>
      </c>
      <c r="J7" s="8" t="n">
        <f aca="false">IFERROR(SUMIFS(Raw_Data!$D$5:$D$88,Raw_Data!$A$5:$A$88,$A7,Raw_Data!$B$5:$B$88,$B7,Raw_Data!$C$5:$C$88,"Net NPA (Stage 3 Net Carrying Amount)")/SUMIFS(Raw_Data!$D$5:$D$88,Raw_Data!$A$5:$A$88,$A7,Raw_Data!$B$5:$B$88,$B7,Raw_Data!$C$5:$C$88,"Total Net Loans (for NNPA%)"),"")</f>
        <v>0.00565256521275719</v>
      </c>
    </row>
    <row r="8" customFormat="false" ht="15" hidden="false" customHeight="true" outlineLevel="0" collapsed="false">
      <c r="A8" s="5" t="s">
        <v>43</v>
      </c>
      <c r="B8" s="5" t="s">
        <v>33</v>
      </c>
      <c r="C8" s="8" t="n">
        <f aca="false">IFERROR((SUMIFS(Raw_Data!$D$5:$D$88,Raw_Data!$A$5:$A$88,$A8,Raw_Data!$B$5:$B$88,$B8,Raw_Data!$C$5:$C$88,"Interest Income")-SUMIFS(Raw_Data!$D$5:$D$88,Raw_Data!$A$5:$A$88,$A8,Raw_Data!$B$5:$B$88,$B8,Raw_Data!$C$5:$C$88,"Finance Costs (Interest Expense)"))/SUMIFS(Raw_Data!$D$5:$D$88,Raw_Data!$A$5:$A$88,$A8,Raw_Data!$B$5:$B$88,$B8,Raw_Data!$C$5:$C$88,"Total Assets"),"")</f>
        <v>0.0908226824418028</v>
      </c>
      <c r="D8" s="8" t="n">
        <f aca="false">IFERROR(SUMIFS(Raw_Data!$D$5:$D$88,Raw_Data!$A$5:$A$88,$A8,Raw_Data!$B$5:$B$88,$B8,Raw_Data!$C$5:$C$88,"Profit After Tax (PAT)")/SUMIFS(Raw_Data!$D$5:$D$88,Raw_Data!$A$5:$A$88,$A8,Raw_Data!$B$5:$B$88,$B8,Raw_Data!$C$5:$C$88,"Total Assets"),"")</f>
        <v>0.0426280985299267</v>
      </c>
      <c r="E8" s="8" t="n">
        <f aca="false">IFERROR(SUMIFS(Raw_Data!$D$5:$D$88,Raw_Data!$A$5:$A$88,$A8,Raw_Data!$B$5:$B$88,$B8,Raw_Data!$C$5:$C$88,"Profit After Tax (PAT)")/SUMIFS(Raw_Data!$D$5:$D$88,Raw_Data!$A$5:$A$88,$A8,Raw_Data!$B$5:$B$88,$B8,Raw_Data!$C$5:$C$88,"Total Equity"),"")</f>
        <v>0.175586959296092</v>
      </c>
      <c r="F8" s="9" t="n">
        <f aca="false">IFERROR(SUMIFS(Raw_Data!$D$5:$D$88,Raw_Data!$A$5:$A$88,$A8,Raw_Data!$B$5:$B$88,$B8,Raw_Data!$C$5:$C$88,"Profit After Tax (PAT)")/SUMIFS(Raw_Data!$D$5:$D$88,Raw_Data!$A$5:$A$88,$A8,Raw_Data!$B$5:$B$88,$B8,Raw_Data!$C$5:$C$88,"Total Income"),"")</f>
        <v>0.269333178261483</v>
      </c>
      <c r="G8" s="8" t="n">
        <f aca="false">IFERROR(SUMIFS(Raw_Data!$D$5:$D$88,Raw_Data!$A$5:$A$88,$A8,Raw_Data!$B$5:$B$88,$B8,Raw_Data!$C$5:$C$88,"Total Borrowings (Debt Securities + Borrowings + Subordinated Liabilities)")/SUMIFS(Raw_Data!$D$5:$D$88,Raw_Data!$A$5:$A$88,$A8,Raw_Data!$B$5:$B$88,$B8,Raw_Data!$C$5:$C$88,"Total Equity"),"")</f>
        <v>3.0603670046589</v>
      </c>
      <c r="H8" s="8" t="n">
        <f aca="false">IFERROR(SUMIFS(Raw_Data!$D$5:$D$88,Raw_Data!$A$5:$A$88,$A8,Raw_Data!$B$5:$B$88,$B8,Raw_Data!$C$5:$C$88,"CRAR (%)")/100,"")</f>
        <v>0.2252</v>
      </c>
      <c r="I8" s="8" t="n">
        <f aca="false">IFERROR(SUMIFS(Raw_Data!$D$5:$D$88,Raw_Data!$A$5:$A$88,$A8,Raw_Data!$B$5:$B$88,$B8,Raw_Data!$C$5:$C$88,"Gross NPA (Stage 3 Gross Carrying Amount)")/SUMIFS(Raw_Data!$D$5:$D$88,Raw_Data!$A$5:$A$88,$A8,Raw_Data!$B$5:$B$88,$B8,Raw_Data!$C$5:$C$88,"Total Gross Loans (for GNPA%)"),"")</f>
        <v>0.0104916419453132</v>
      </c>
      <c r="J8" s="8" t="n">
        <f aca="false">IFERROR(SUMIFS(Raw_Data!$D$5:$D$88,Raw_Data!$A$5:$A$88,$A8,Raw_Data!$B$5:$B$88,$B8,Raw_Data!$C$5:$C$88,"Net NPA (Stage 3 Net Carrying Amount)")/SUMIFS(Raw_Data!$D$5:$D$88,Raw_Data!$A$5:$A$88,$A8,Raw_Data!$B$5:$B$88,$B8,Raw_Data!$C$5:$C$88,"Total Net Loans (for NNPA%)"),"")</f>
        <v>0.00465240368985186</v>
      </c>
    </row>
    <row r="9" customFormat="false" ht="15" hidden="false" customHeight="true" outlineLevel="0" collapsed="false">
      <c r="A9" s="5" t="s">
        <v>59</v>
      </c>
      <c r="B9" s="5" t="s">
        <v>8</v>
      </c>
      <c r="C9" s="8" t="n">
        <f aca="false">IFERROR((SUMIFS(Raw_Data!$D$5:$D$88,Raw_Data!$A$5:$A$88,$A9,Raw_Data!$B$5:$B$88,$B9,Raw_Data!$C$5:$C$88,"Interest Income")-SUMIFS(Raw_Data!$D$5:$D$88,Raw_Data!$A$5:$A$88,$A9,Raw_Data!$B$5:$B$88,$B9,Raw_Data!$C$5:$C$88,"Finance Costs (Interest Expense)"))/SUMIFS(Raw_Data!$D$5:$D$88,Raw_Data!$A$5:$A$88,$A9,Raw_Data!$B$5:$B$88,$B9,Raw_Data!$C$5:$C$88,"Total Assets"),"")</f>
        <v>0.111229235580161</v>
      </c>
      <c r="D9" s="8" t="n">
        <f aca="false">IFERROR(SUMIFS(Raw_Data!$D$5:$D$88,Raw_Data!$A$5:$A$88,$A9,Raw_Data!$B$5:$B$88,$B9,Raw_Data!$C$5:$C$88,"Profit After Tax (PAT)")/SUMIFS(Raw_Data!$D$5:$D$88,Raw_Data!$A$5:$A$88,$A9,Raw_Data!$B$5:$B$88,$B9,Raw_Data!$C$5:$C$88,"Total Assets"),"")</f>
        <v>0.0447657708926972</v>
      </c>
      <c r="E9" s="8" t="n">
        <f aca="false">IFERROR(SUMIFS(Raw_Data!$D$5:$D$88,Raw_Data!$A$5:$A$88,$A9,Raw_Data!$B$5:$B$88,$B9,Raw_Data!$C$5:$C$88,"Profit After Tax (PAT)")/SUMIFS(Raw_Data!$D$5:$D$88,Raw_Data!$A$5:$A$88,$A9,Raw_Data!$B$5:$B$88,$B9,Raw_Data!$C$5:$C$88,"Total Equity"),"")</f>
        <v>0.151216331265412</v>
      </c>
      <c r="F9" s="9" t="n">
        <f aca="false">IFERROR(SUMIFS(Raw_Data!$D$5:$D$88,Raw_Data!$A$5:$A$88,$A9,Raw_Data!$B$5:$B$88,$B9,Raw_Data!$C$5:$C$88,"Profit After Tax (PAT)")/SUMIFS(Raw_Data!$D$5:$D$88,Raw_Data!$A$5:$A$88,$A9,Raw_Data!$B$5:$B$88,$B9,Raw_Data!$C$5:$C$88,"Total Income"),"")</f>
        <v>0.25790407652358</v>
      </c>
      <c r="G9" s="8" t="n">
        <f aca="false">IFERROR(SUMIFS(Raw_Data!$D$5:$D$88,Raw_Data!$A$5:$A$88,$A9,Raw_Data!$B$5:$B$88,$B9,Raw_Data!$C$5:$C$88,"Total Borrowings (Debt Securities + Borrowings + Subordinated Liabilities)")/SUMIFS(Raw_Data!$D$5:$D$88,Raw_Data!$A$5:$A$88,$A9,Raw_Data!$B$5:$B$88,$B9,Raw_Data!$C$5:$C$88,"Total Equity"),"")</f>
        <v>2.29341702253232</v>
      </c>
      <c r="H9" s="8" t="n">
        <f aca="false">IFERROR(SUMIFS(Raw_Data!$D$5:$D$88,Raw_Data!$A$5:$A$88,$A9,Raw_Data!$B$5:$B$88,$B9,Raw_Data!$C$5:$C$88,"CRAR (%)")/100,"")</f>
        <v>0.3091</v>
      </c>
      <c r="I9" s="8" t="n">
        <f aca="false">IFERROR(SUMIFS(Raw_Data!$D$5:$D$88,Raw_Data!$A$5:$A$88,$A9,Raw_Data!$B$5:$B$88,$B9,Raw_Data!$C$5:$C$88,"Gross NPA (Stage 3 Gross Carrying Amount)")/SUMIFS(Raw_Data!$D$5:$D$88,Raw_Data!$A$5:$A$88,$A9,Raw_Data!$B$5:$B$88,$B9,Raw_Data!$C$5:$C$88,"Total Gross Loans (for GNPA%)"),"")</f>
        <v>0.027099844655999</v>
      </c>
      <c r="J9" s="8" t="n">
        <f aca="false">IFERROR(SUMIFS(Raw_Data!$D$5:$D$88,Raw_Data!$A$5:$A$88,$A9,Raw_Data!$B$5:$B$88,$B9,Raw_Data!$C$5:$C$88,"Net NPA (Stage 3 Net Carrying Amount)")/SUMIFS(Raw_Data!$D$5:$D$88,Raw_Data!$A$5:$A$88,$A9,Raw_Data!$B$5:$B$88,$B9,Raw_Data!$C$5:$C$88,"Total Net Loans (for NNPA%)"),"")</f>
        <v>0.023813733887134</v>
      </c>
    </row>
    <row r="10" customFormat="false" ht="15" hidden="false" customHeight="true" outlineLevel="0" collapsed="false">
      <c r="A10" s="5" t="s">
        <v>59</v>
      </c>
      <c r="B10" s="5" t="s">
        <v>33</v>
      </c>
      <c r="C10" s="8" t="n">
        <f aca="false">IFERROR((SUMIFS(Raw_Data!$D$5:$D$88,Raw_Data!$A$5:$A$88,$A10,Raw_Data!$B$5:$B$88,$B10,Raw_Data!$C$5:$C$88,"Interest Income")-SUMIFS(Raw_Data!$D$5:$D$88,Raw_Data!$A$5:$A$88,$A10,Raw_Data!$B$5:$B$88,$B10,Raw_Data!$C$5:$C$88,"Finance Costs (Interest Expense)"))/SUMIFS(Raw_Data!$D$5:$D$88,Raw_Data!$A$5:$A$88,$A10,Raw_Data!$B$5:$B$88,$B10,Raw_Data!$C$5:$C$88,"Total Assets"),"")</f>
        <v>0.115848200192016</v>
      </c>
      <c r="D10" s="8" t="n">
        <f aca="false">IFERROR(SUMIFS(Raw_Data!$D$5:$D$88,Raw_Data!$A$5:$A$88,$A10,Raw_Data!$B$5:$B$88,$B10,Raw_Data!$C$5:$C$88,"Profit After Tax (PAT)")/SUMIFS(Raw_Data!$D$5:$D$88,Raw_Data!$A$5:$A$88,$A10,Raw_Data!$B$5:$B$88,$B10,Raw_Data!$C$5:$C$88,"Total Assets"),"")</f>
        <v>0.0489106029375925</v>
      </c>
      <c r="E10" s="8" t="n">
        <f aca="false">IFERROR(SUMIFS(Raw_Data!$D$5:$D$88,Raw_Data!$A$5:$A$88,$A10,Raw_Data!$B$5:$B$88,$B10,Raw_Data!$C$5:$C$88,"Profit After Tax (PAT)")/SUMIFS(Raw_Data!$D$5:$D$88,Raw_Data!$A$5:$A$88,$A10,Raw_Data!$B$5:$B$88,$B10,Raw_Data!$C$5:$C$88,"Total Equity"),"")</f>
        <v>0.160178447368752</v>
      </c>
      <c r="F10" s="9" t="n">
        <f aca="false">IFERROR(SUMIFS(Raw_Data!$D$5:$D$88,Raw_Data!$A$5:$A$88,$A10,Raw_Data!$B$5:$B$88,$B10,Raw_Data!$C$5:$C$88,"Profit After Tax (PAT)")/SUMIFS(Raw_Data!$D$5:$D$88,Raw_Data!$A$5:$A$88,$A10,Raw_Data!$B$5:$B$88,$B10,Raw_Data!$C$5:$C$88,"Total Income"),"")</f>
        <v>0.283147583544704</v>
      </c>
      <c r="G10" s="8" t="n">
        <f aca="false">IFERROR(SUMIFS(Raw_Data!$D$5:$D$88,Raw_Data!$A$5:$A$88,$A10,Raw_Data!$B$5:$B$88,$B10,Raw_Data!$C$5:$C$88,"Total Borrowings (Debt Securities + Borrowings + Subordinated Liabilities)")/SUMIFS(Raw_Data!$D$5:$D$88,Raw_Data!$A$5:$A$88,$A10,Raw_Data!$B$5:$B$88,$B10,Raw_Data!$C$5:$C$88,"Total Equity"),"")</f>
        <v>2.17086132645104</v>
      </c>
      <c r="H10" s="8" t="n">
        <f aca="false">IFERROR(SUMIFS(Raw_Data!$D$5:$D$88,Raw_Data!$A$5:$A$88,$A10,Raw_Data!$B$5:$B$88,$B10,Raw_Data!$C$5:$C$88,"CRAR (%)")/100,"")</f>
        <v>0</v>
      </c>
      <c r="I10" s="8" t="n">
        <f aca="false">IFERROR(SUMIFS(Raw_Data!$D$5:$D$88,Raw_Data!$A$5:$A$88,$A10,Raw_Data!$B$5:$B$88,$B10,Raw_Data!$C$5:$C$88,"Gross NPA (Stage 3 Gross Carrying Amount)")/SUMIFS(Raw_Data!$D$5:$D$88,Raw_Data!$A$5:$A$88,$A10,Raw_Data!$B$5:$B$88,$B10,Raw_Data!$C$5:$C$88,"Total Gross Loans (for GNPA%)"),"")</f>
        <v>0.0191937204871004</v>
      </c>
      <c r="J10" s="8" t="n">
        <f aca="false">IFERROR(SUMIFS(Raw_Data!$D$5:$D$88,Raw_Data!$A$5:$A$88,$A10,Raw_Data!$B$5:$B$88,$B10,Raw_Data!$C$5:$C$88,"Net NPA (Stage 3 Net Carrying Amount)")/SUMIFS(Raw_Data!$D$5:$D$88,Raw_Data!$A$5:$A$88,$A10,Raw_Data!$B$5:$B$88,$B10,Raw_Data!$C$5:$C$88,"Total Net Loans (for NNPA%)"),"")</f>
        <v>0.0169649451976874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89</v>
      </c>
    </row>
    <row r="2" customFormat="false" ht="15" hidden="false" customHeight="true" outlineLevel="0" collapsed="false">
      <c r="A2" s="10"/>
    </row>
    <row r="3" customFormat="false" ht="15" hidden="false" customHeight="true" outlineLevel="0" collapsed="false">
      <c r="A3" s="11" t="s">
        <v>90</v>
      </c>
    </row>
    <row r="4" customFormat="false" ht="15" hidden="false" customHeight="true" outlineLevel="0" collapsed="false">
      <c r="A4" s="10" t="s">
        <v>91</v>
      </c>
    </row>
    <row r="5" customFormat="false" ht="15" hidden="false" customHeight="true" outlineLevel="0" collapsed="false">
      <c r="A5" s="10" t="s">
        <v>92</v>
      </c>
    </row>
    <row r="6" customFormat="false" ht="15" hidden="false" customHeight="true" outlineLevel="0" collapsed="false">
      <c r="A6" s="10" t="s">
        <v>93</v>
      </c>
    </row>
    <row r="7" customFormat="false" ht="15" hidden="false" customHeight="true" outlineLevel="0" collapsed="false">
      <c r="A7" s="10"/>
    </row>
    <row r="8" customFormat="false" ht="15" hidden="false" customHeight="true" outlineLevel="0" collapsed="false">
      <c r="A8" s="11" t="s">
        <v>94</v>
      </c>
    </row>
    <row r="9" customFormat="false" ht="15" hidden="false" customHeight="true" outlineLevel="0" collapsed="false">
      <c r="A9" s="10" t="s">
        <v>95</v>
      </c>
    </row>
    <row r="10" customFormat="false" ht="15" hidden="false" customHeight="true" outlineLevel="0" collapsed="false">
      <c r="A10" s="10"/>
    </row>
    <row r="11" customFormat="false" ht="15" hidden="false" customHeight="true" outlineLevel="0" collapsed="false">
      <c r="A11" s="11" t="s">
        <v>96</v>
      </c>
    </row>
    <row r="12" customFormat="false" ht="15" hidden="false" customHeight="true" outlineLevel="0" collapsed="false">
      <c r="A12" s="10" t="s">
        <v>97</v>
      </c>
    </row>
    <row r="13" customFormat="false" ht="15" hidden="false" customHeight="true" outlineLevel="0" collapsed="false">
      <c r="A13" s="10"/>
    </row>
    <row r="14" customFormat="false" ht="15" hidden="false" customHeight="true" outlineLevel="0" collapsed="false">
      <c r="A14" s="11" t="s">
        <v>98</v>
      </c>
    </row>
    <row r="15" customFormat="false" ht="15" hidden="false" customHeight="true" outlineLevel="0" collapsed="false">
      <c r="A15" s="10" t="s">
        <v>99</v>
      </c>
    </row>
    <row r="16" customFormat="false" ht="15" hidden="false" customHeight="true" outlineLevel="0" collapsed="false">
      <c r="A16" s="10"/>
    </row>
    <row r="17" customFormat="false" ht="15" hidden="false" customHeight="true" outlineLevel="0" collapsed="false">
      <c r="A17" s="11" t="s">
        <v>100</v>
      </c>
    </row>
    <row r="18" customFormat="false" ht="15" hidden="false" customHeight="true" outlineLevel="0" collapsed="false">
      <c r="A18" s="10" t="s">
        <v>101</v>
      </c>
    </row>
    <row r="19" customFormat="false" ht="15" hidden="false" customHeight="true" outlineLevel="0" collapsed="false">
      <c r="A19" s="10" t="s">
        <v>102</v>
      </c>
    </row>
    <row r="20" customFormat="false" ht="15" hidden="false" customHeight="true" outlineLevel="0" collapsed="false">
      <c r="A20" s="10"/>
    </row>
    <row r="21" customFormat="false" ht="15" hidden="false" customHeight="true" outlineLevel="0" collapsed="false">
      <c r="A21" s="11" t="s">
        <v>103</v>
      </c>
    </row>
    <row r="22" customFormat="false" ht="15" hidden="false" customHeight="true" outlineLevel="0" collapsed="false">
      <c r="A22" s="10" t="s">
        <v>104</v>
      </c>
    </row>
    <row r="23" customFormat="false" ht="15" hidden="false" customHeight="true" outlineLevel="0" collapsed="false">
      <c r="A23" s="10"/>
    </row>
    <row r="24" customFormat="false" ht="15" hidden="false" customHeight="true" outlineLevel="0" collapsed="false">
      <c r="A24" s="11" t="s">
        <v>105</v>
      </c>
    </row>
    <row r="25" customFormat="false" ht="15" hidden="false" customHeight="true" outlineLevel="0" collapsed="false">
      <c r="A25" s="10" t="s">
        <v>106</v>
      </c>
    </row>
    <row r="26" customFormat="false" ht="15" hidden="false" customHeight="true" outlineLevel="0" collapsed="false">
      <c r="A26" s="10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2026-07-29T12:46:08Z</dcterms:created>
  <dc:creator>openpyxl</dc:creator>
  <dc:description/>
  <dc:language>en-US</dc:language>
  <cp:lastModifiedBy/>
  <dcterms:modified xsi:type="dcterms:W3CDTF">2026-07-31T16:10:57Z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